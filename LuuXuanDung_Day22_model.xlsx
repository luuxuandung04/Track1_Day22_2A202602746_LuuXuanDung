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054b524e445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48765e3be3f841d9"/>
    <x:sheet xmlns:r="http://schemas.openxmlformats.org/officeDocument/2006/relationships" name="1_Cost_Job" sheetId="2" r:id="Re50766a06f814758"/>
    <x:sheet xmlns:r="http://schemas.openxmlformats.org/officeDocument/2006/relationships" name="2_Pricing" sheetId="3" r:id="R1bb05dc66cf24f64"/>
    <x:sheet xmlns:r="http://schemas.openxmlformats.org/officeDocument/2006/relationships" name="3_Value_Metric" sheetId="4" r:id="R1eef97abe0a1424e"/>
    <x:sheet xmlns:r="http://schemas.openxmlformats.org/officeDocument/2006/relationships" name="4_Channel_Fit" sheetId="5" r:id="Rc6641c8562a34025"/>
    <x:sheet xmlns:r="http://schemas.openxmlformats.org/officeDocument/2006/relationships" name="5_90Day_Plan" sheetId="6" r:id="R72dcdc8a74f643b1"/>
    <x:sheet xmlns:r="http://schemas.openxmlformats.org/officeDocument/2006/relationships" name="6_Benchmarks" sheetId="7" r:id="R5a835be6a128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086F75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B49"/>
      </x:patternFill>
    </x:fill>
    <x:fill>
      <x:patternFill patternType="solid">
        <x:fgColor rgb="FFE9F5F4"/>
      </x:patternFill>
    </x:fill>
    <x:fill>
      <x:patternFill patternType="solid">
        <x:fgColor rgb="FFF5F8FB"/>
      </x:patternFill>
    </x:fill>
    <x:fill>
      <x:patternFill patternType="solid">
        <x:fgColor rgb="FFFFF2BB"/>
      </x:patternFill>
    </x:fill>
    <x:fill>
      <x:patternFill patternType="solid">
        <x:fgColor rgb="FF086F75"/>
      </x:patternFill>
    </x:fill>
    <x:fill>
      <x:patternFill patternType="solid">
        <x:fgColor rgb="FFE6EDF3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011b46e9364a94" /><Relationship Type="http://schemas.openxmlformats.org/officeDocument/2006/relationships/theme" Target="/xl/theme/theme1.xml" Id="R459c21bd87ca42f0" /><Relationship Type="http://schemas.openxmlformats.org/officeDocument/2006/relationships/sharedStrings" Target="/xl/sharedStrings.xml" Id="Rebd91ba3b54f41a4" /><Relationship Type="http://schemas.openxmlformats.org/officeDocument/2006/relationships/worksheet" Target="/xl/worksheets/sheet1.xml" Id="R48765e3be3f841d9" /><Relationship Type="http://schemas.openxmlformats.org/officeDocument/2006/relationships/worksheet" Target="/xl/worksheets/sheet2.xml" Id="Re50766a06f814758" /><Relationship Type="http://schemas.openxmlformats.org/officeDocument/2006/relationships/worksheet" Target="/xl/worksheets/sheet3.xml" Id="R1bb05dc66cf24f64" /><Relationship Type="http://schemas.openxmlformats.org/officeDocument/2006/relationships/worksheet" Target="/xl/worksheets/sheet4.xml" Id="R1eef97abe0a1424e" /><Relationship Type="http://schemas.openxmlformats.org/officeDocument/2006/relationships/worksheet" Target="/xl/worksheets/sheet5.xml" Id="Rc6641c8562a34025" /><Relationship Type="http://schemas.openxmlformats.org/officeDocument/2006/relationships/worksheet" Target="/xl/worksheets/sheet6.xml" Id="R72dcdc8a74f643b1" /><Relationship Type="http://schemas.openxmlformats.org/officeDocument/2006/relationships/worksheet" Target="/xl/worksheets/sheet7.xml" Id="R5a835be6a12846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3" hidden="0" customWidth="1"/>
    <x:col min="4" max="4" width="24" hidden="0" customWidth="1"/>
    <x:col min="5" max="5" width="60" hidden="0" customWidth="1"/>
  </x:cols>
  <x:sheetData>
    <x:row r="1" ht="33" customHeight="1">
      <x:c r="A1" s="3" t="str">
        <x:v>DAY 22 • MONETIZATION &amp; GTM</x:v>
      </x:c>
      <x:c r="B1" s="3" t="str"/>
      <x:c r="C1" s="3" t="str"/>
      <x:c r="D1" s="3" t="str"/>
      <x:c r="E1" s="3" t="str"/>
    </x:row>
    <x:row r="2" ht="30" customHeight="1">
      <x:c r="A2" s="7" t="str">
        <x:v>Mô hình giả định / chưa có kiểm chứng pilot; ưu tiên xem phần kiểm toán.</x:v>
      </x:c>
      <x:c r="B2" s="7" t="str"/>
      <x:c r="C2" s="7" t="str"/>
      <x:c r="D2" s="7" t="str"/>
      <x:c r="E2" s="7" t="str"/>
    </x:row>
    <x:row r="4">
      <x:c r="A4" s="10" t="str">
        <x:v>Sản phẩm</x:v>
      </x:c>
      <x:c r="B4" t="str">
        <x:v>P-100 VinFast After-Sales AI Agent</x:v>
      </x:c>
      <x:c r="C4" t="str"/>
      <x:c r="D4" t="str"/>
      <x:c r="E4" t="str"/>
    </x:row>
    <x:row r="5">
      <x:c r="A5" t="str">
        <x:v>Người thực hiện</x:v>
      </x:c>
      <x:c r="B5" t="str">
        <x:v>Lưu Xuân Dũng – 2A202602746</x:v>
      </x:c>
      <x:c r="C5" t="str"/>
      <x:c r="D5" t="str"/>
      <x:c r="E5" t="str"/>
    </x:row>
    <x:row r="6">
      <x:c r="A6" s="10" t="str">
        <x:v>Ngày tham chiếu</x:v>
      </x:c>
      <x:c r="B6" t="str">
        <x:v>08/10/2026</x:v>
      </x:c>
      <x:c r="C6" t="str"/>
      <x:c r="D6" t="str"/>
      <x:c r="E6" t="str"/>
    </x:row>
    <x:row r="7">
      <x:c r="A7" t="str">
        <x:v>Tỷ giá giả định (VND/USD)</x:v>
      </x:c>
      <x:c r="B7" s="12" t="n">
        <x:v>26000</x:v>
      </x:c>
      <x:c r="C7" t="str"/>
      <x:c r="D7" t="str"/>
      <x:c r="E7" t="str"/>
    </x:row>
    <x:row r="9">
      <x:c r="A9" t="str">
        <x:v>Cảnh báo</x:v>
      </x:c>
      <x:c r="B9" t="str">
        <x:v>Bảng gốc .xlsx và template .docx KHÔNG được cung cấp; đây là bản dựng lại, không phải template chính thức.</x:v>
      </x:c>
      <x:c r="C9" t="str"/>
      <x:c r="D9" t="str"/>
      <x:c r="E9" t="str"/>
    </x:row>
    <x:row r="10">
      <x:c r="A10" s="10" t="str">
        <x:v>Nguồn số liệu</x:v>
      </x:c>
      <x:c r="B10" t="str">
        <x:v>Dựa trên 4 file bài làm đã gửi; điều chỉnh những bất nhất về tính toán.</x:v>
      </x:c>
      <x:c r="C10" t="str"/>
      <x:c r="D10" t="str"/>
      <x:c r="E10" t="str"/>
    </x:row>
    <x:row r="11">
      <x:c r="A11" t="str">
        <x:v>Giá Gemini</x:v>
      </x:c>
      <x:c r="B11" t="str">
        <x:v>Standard paid: $0.30 input / $2.50 output / $0.03 cached per triệu token; nguồn Google Gemini pricing.</x:v>
      </x:c>
      <x:c r="C11" t="str"/>
      <x:c r="D11" t="str"/>
      <x:c r="E11" t="str"/>
    </x:row>
    <x:row r="12">
      <x:c r="A12" s="10" t="str">
        <x:v>Cost caching</x:v>
      </x:c>
      <x:c r="B12" t="str">
        <x:v>Chưa cộng phí lưu cache theo thời gian (TTL chưa xác định); chưa đo token thinking.</x:v>
      </x:c>
      <x:c r="C12" t="str"/>
      <x:c r="D12" t="str"/>
      <x:c r="E12" t="str"/>
    </x:row>
    <x:row r="13">
      <x:c r="A13" t="str">
        <x:v>Đánh giá</x:v>
      </x:c>
      <x:c r="B13" t="str">
        <x:v>Độ chính xác tài chính dựa trên giả định, không phải bằng chứng kinh doanh.</x:v>
      </x:c>
      <x:c r="C13" t="str"/>
      <x:c r="D13" t="str"/>
      <x:c r="E13" t="str"/>
    </x:row>
    <x:row r="14">
      <x:c r="A14" s="10" t="str">
        <x:v>Điểm chưa đạt</x:v>
      </x:c>
      <x:c r="B14" t="str">
        <x:v>GM &lt;60%; thiếu eval thật; chưa có pilot; không được tuyên bố hoàn thành checklist.</x:v>
      </x:c>
      <x:c r="C14" t="str"/>
      <x:c r="D14" t="str"/>
      <x:c r="E14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3" hidden="0" customWidth="1"/>
    <x:col min="4" max="4" width="24" hidden="0" customWidth="1"/>
    <x:col min="5" max="5" width="60" hidden="0" customWidth="1"/>
  </x:cols>
  <x:sheetData>
    <x:row r="1" ht="33" customHeight="1">
      <x:c r="A1" s="3" t="str">
        <x:v>1 • COST / COMPLETED JOB</x:v>
      </x:c>
      <x:c r="B1" s="3" t="str"/>
      <x:c r="C1" s="3" t="str"/>
      <x:c r="D1" s="3" t="str"/>
      <x:c r="E1" s="3" t="str"/>
    </x:row>
    <x:row r="2" ht="30" customHeight="1">
      <x:c r="A2" s="7" t="str">
        <x:v>Input vàng • Formula xám | COGS vận hành và overhead quản trị tách riêng để tránh nhầm GM.</x:v>
      </x:c>
      <x:c r="B2" s="7" t="str"/>
      <x:c r="C2" s="7" t="str"/>
      <x:c r="D2" s="7" t="str"/>
      <x:c r="E2" s="7" t="str"/>
    </x:row>
    <x:row r="4" ht="22" customHeight="1">
      <x:c r="A4" s="15" t="str">
        <x:v>S1 · ĐỊNH NGHĨA JOB</x:v>
      </x:c>
      <x:c r="B4" s="15" t="str"/>
      <x:c r="C4" s="15" t="str"/>
      <x:c r="D4" s="15" t="str"/>
      <x:c r="E4" s="15" t="str"/>
    </x:row>
    <x:row r="5">
      <x:c r="A5" t="str">
        <x:v>Job</x:v>
      </x:c>
      <x:c r="B5" t="str">
        <x:v>Booking confirmed</x:v>
      </x:c>
      <x:c r="C5" t="str"/>
      <x:c r="D5" t="str"/>
      <x:c r="E5" t="str">
        <x:v>Trạng thái CONFIRMED; không tính cancelled/rejected</x:v>
      </x:c>
    </x:row>
    <x:row r="6">
      <x:c r="A6" s="10" t="str">
        <x:v>Budget</x:v>
      </x:c>
      <x:c r="B6" t="str">
        <x:v>Vận hành xưởng</x:v>
      </x:c>
      <x:c r="C6" t="str"/>
      <x:c r="D6" t="str"/>
      <x:c r="E6" t="str"/>
    </x:row>
    <x:row r="7">
      <x:c r="A7" t="str">
        <x:v>HITL variant</x:v>
      </x:c>
      <x:c r="B7" t="str">
        <x:v>A – Software</x:v>
      </x:c>
      <x:c r="C7" t="str"/>
      <x:c r="D7" t="str"/>
      <x:c r="E7" t="str">
        <x:v>Advisor xử lý ca escalate; QA nội bộ do vendor trả.</x:v>
      </x:c>
    </x:row>
    <x:row r="9" ht="22" customHeight="1">
      <x:c r="A9" s="15" t="str">
        <x:v>S2 · VOLUME</x:v>
      </x:c>
      <x:c r="B9" s="15" t="str"/>
      <x:c r="C9" s="15" t="str"/>
      <x:c r="D9" s="15" t="str"/>
      <x:c r="E9" s="15" t="str"/>
    </x:row>
    <x:row r="10">
      <x:c r="A10" s="10" t="str">
        <x:v>Booking attempts/month</x:v>
      </x:c>
      <x:c r="B10" s="12" t="n">
        <x:v>300</x:v>
      </x:c>
      <x:c r="C10" t="str">
        <x:v>lượt</x:v>
      </x:c>
      <x:c r="D10" t="str"/>
      <x:c r="E10" t="str">
        <x:v>Giả định, không có log production</x:v>
      </x:c>
    </x:row>
    <x:row r="11">
      <x:c r="A11" t="str">
        <x:v>Containment estimate</x:v>
      </x:c>
      <x:c r="B11" s="12" t="n">
        <x:v>0.78</x:v>
      </x:c>
      <x:c r="C11" t="str">
        <x:v>tỷ lệ</x:v>
      </x:c>
      <x:c r="D11" t="str"/>
      <x:c r="E11" t="str">
        <x:v>Chưa có eval thật; confirmed không phải fully autonomous</x:v>
      </x:c>
    </x:row>
    <x:row r="12">
      <x:c r="A12" s="10" t="str">
        <x:v>Completed bookings</x:v>
      </x:c>
      <x:c r="B12" s="18" t="n">
        <x:f>B10*B11</x:f>
        <x:v>234</x:v>
      </x:c>
      <x:c r="C12" t="str"/>
      <x:c r="D12" t="str"/>
      <x:c r="E12" t="str"/>
    </x:row>
    <x:row r="13">
      <x:c r="A13" t="str">
        <x:v>Failed/escalated bookings</x:v>
      </x:c>
      <x:c r="B13" s="18" t="n">
        <x:f>B10-B12</x:f>
        <x:v>66</x:v>
      </x:c>
      <x:c r="C13" t="str"/>
      <x:c r="D13" t="str"/>
      <x:c r="E13" t="str"/>
    </x:row>
    <x:row r="15" ht="22" customHeight="1">
      <x:c r="A15" s="15" t="str">
        <x:v>S3 · LLM, USD / 1M TOKENS</x:v>
      </x:c>
      <x:c r="B15" s="15" t="str"/>
      <x:c r="C15" s="15" t="str"/>
      <x:c r="D15" s="15" t="str"/>
      <x:c r="E15" s="15" t="str"/>
    </x:row>
    <x:row r="16">
      <x:c r="A16" s="10" t="str">
        <x:v>Input price</x:v>
      </x:c>
      <x:c r="B16" s="12" t="n">
        <x:v>0.3</x:v>
      </x:c>
      <x:c r="C16" t="str">
        <x:v>USD/1M</x:v>
      </x:c>
      <x:c r="D16" t="str"/>
      <x:c r="E16" t="str">
        <x:v>Google Gemini 2.5 Flash STANDARD</x:v>
      </x:c>
    </x:row>
    <x:row r="17">
      <x:c r="A17" t="str">
        <x:v>Output price</x:v>
      </x:c>
      <x:c r="B17" s="12" t="n">
        <x:v>2.5</x:v>
      </x:c>
      <x:c r="C17" t="str">
        <x:v>USD/1M</x:v>
      </x:c>
      <x:c r="D17" t="str"/>
      <x:c r="E17" t="str">
        <x:v>Bao gồm thinking tokens nếu phát sinh; chưa đo</x:v>
      </x:c>
    </x:row>
    <x:row r="18">
      <x:c r="A18" s="10" t="str">
        <x:v>Cached input price</x:v>
      </x:c>
      <x:c r="B18" s="12" t="n">
        <x:v>0.03</x:v>
      </x:c>
      <x:c r="C18" t="str">
        <x:v>USD/1M</x:v>
      </x:c>
      <x:c r="D18" t="str"/>
      <x:c r="E18" t="str">
        <x:v>Explicit/implicit caching: giả định hit cache</x:v>
      </x:c>
    </x:row>
    <x:row r="19">
      <x:c r="A19" t="str">
        <x:v>Cache storage price</x:v>
      </x:c>
      <x:c r="B19" s="12" t="n">
        <x:v>1</x:v>
      </x:c>
      <x:c r="C19" t="str">
        <x:v>USD/1M token-hour</x:v>
      </x:c>
      <x:c r="D19" t="str"/>
      <x:c r="E19" t="str">
        <x:v>CHƯA áp dụng do thiếu thời gian lưu</x:v>
      </x:c>
    </x:row>
    <x:row r="20">
      <x:c r="A20" s="10" t="str">
        <x:v>System/context tokens</x:v>
      </x:c>
      <x:c r="B20" s="12" t="n">
        <x:v>4000</x:v>
      </x:c>
      <x:c r="C20" t="str">
        <x:v>tokens/attempt</x:v>
      </x:c>
      <x:c r="D20" t="str"/>
      <x:c r="E20" t="str"/>
    </x:row>
    <x:row r="21">
      <x:c r="A21" t="str">
        <x:v>Fresh input tokens/turn</x:v>
      </x:c>
      <x:c r="B21" s="12" t="n">
        <x:v>800</x:v>
      </x:c>
      <x:c r="C21" t="str">
        <x:v>tokens</x:v>
      </x:c>
      <x:c r="D21" t="str"/>
      <x:c r="E21" t="str"/>
    </x:row>
    <x:row r="22">
      <x:c r="A22" s="10" t="str">
        <x:v>Output tokens/turn</x:v>
      </x:c>
      <x:c r="B22" s="12" t="n">
        <x:v>400</x:v>
      </x:c>
      <x:c r="C22" t="str">
        <x:v>tokens</x:v>
      </x:c>
      <x:c r="D22" t="str"/>
      <x:c r="E22" t="str">
        <x:v>Chưa bao gồm thinking tokens chưa đo</x:v>
      </x:c>
    </x:row>
    <x:row r="23">
      <x:c r="A23" t="str">
        <x:v>Turns/attempt</x:v>
      </x:c>
      <x:c r="B23" s="12" t="n">
        <x:v>8</x:v>
      </x:c>
      <x:c r="C23" t="str">
        <x:v>lượt</x:v>
      </x:c>
      <x:c r="D23" t="str"/>
      <x:c r="E23" t="str"/>
    </x:row>
    <x:row r="24">
      <x:c r="A24" s="10" t="str">
        <x:v>Cache hit turns</x:v>
      </x:c>
      <x:c r="B24" s="12" t="n">
        <x:v>7</x:v>
      </x:c>
      <x:c r="C24" t="str">
        <x:v>lượt</x:v>
      </x:c>
      <x:c r="D24" t="str"/>
      <x:c r="E24" t="str">
        <x:v>Giả định; cần xác minh usage metadata</x:v>
      </x:c>
    </x:row>
    <x:row r="25">
      <x:c r="A25" t="str">
        <x:v>Cache storage hours per attempt</x:v>
      </x:c>
      <x:c r="B25" s="12" t="n">
        <x:v>0</x:v>
      </x:c>
      <x:c r="C25" t="str">
        <x:v>giờ</x:v>
      </x:c>
      <x:c r="D25" t="str"/>
      <x:c r="E25" t="str">
        <x:v>0 = CHƯA ĐO, không phải chi phí bằng 0</x:v>
      </x:c>
    </x:row>
    <x:row r="26">
      <x:c r="A26" s="10" t="str">
        <x:v>LLM cost / attempt</x:v>
      </x:c>
      <x:c r="B26" s="18" t="n">
        <x:f>(B20*B16+B24*B20*B18+B23*B21*B16+B23*B22*B17)/1000000+B20*B19*B25/1000000</x:f>
        <x:v>0.01196</x:v>
      </x:c>
      <x:c r="C26" t="str">
        <x:v>USD/attempt</x:v>
      </x:c>
      <x:c r="D26" t="str"/>
      <x:c r="E26" t="str"/>
    </x:row>
    <x:row r="27">
      <x:c r="A27" t="str">
        <x:v>LLM spend / month</x:v>
      </x:c>
      <x:c r="B27" s="18" t="n">
        <x:f>B26*B10</x:f>
        <x:v>3.588</x:v>
      </x:c>
      <x:c r="C27" t="str">
        <x:v>USD</x:v>
      </x:c>
      <x:c r="D27" t="str"/>
      <x:c r="E27" t="str"/>
    </x:row>
    <x:row r="28">
      <x:c r="A28" s="10" t="str">
        <x:v>LLM / completed</x:v>
      </x:c>
      <x:c r="B28" s="18" t="n">
        <x:f>B27/B12</x:f>
        <x:v>0.015333333333333334</x:v>
      </x:c>
      <x:c r="C28" t="str">
        <x:v>USD/completed</x:v>
      </x:c>
      <x:c r="D28" t="str"/>
      <x:c r="E28" t="str"/>
    </x:row>
    <x:row r="29">
      <x:c r="A29" t="str">
        <x:v>LLM without cache / attempt</x:v>
      </x:c>
      <x:c r="B29" s="18" t="n">
        <x:f>(B23*(B20+B21)*B16+B23*B22*B17)/1000000</x:f>
        <x:v>0.01952</x:v>
      </x:c>
      <x:c r="C29" t="str">
        <x:v>USD</x:v>
      </x:c>
      <x:c r="D29" t="str"/>
      <x:c r="E29" t="str"/>
    </x:row>
    <x:row r="30">
      <x:c r="A30" s="10" t="str">
        <x:v>Cache saving estimate</x:v>
      </x:c>
      <x:c r="B30" s="18" t="n">
        <x:f>1-B26/B29</x:f>
        <x:v>0.3872950819672131</x:v>
      </x:c>
      <x:c r="C30" t="str">
        <x:v>ratio</x:v>
      </x:c>
      <x:c r="D30" t="str"/>
      <x:c r="E30" t="str">
        <x:v>Chưa tính storage &amp; các điều kiện cache khác</x:v>
      </x:c>
    </x:row>
    <x:row r="32" ht="22" customHeight="1">
      <x:c r="A32" s="15" t="str">
        <x:v>S4–S8 · OTHER COST</x:v>
      </x:c>
      <x:c r="B32" s="15" t="str"/>
      <x:c r="C32" s="15" t="str"/>
      <x:c r="D32" s="15" t="str"/>
      <x:c r="E32" s="15" t="str"/>
    </x:row>
    <x:row r="33">
      <x:c r="A33" t="str">
        <x:v>Speech cost / attempt</x:v>
      </x:c>
      <x:c r="B33" s="12" t="n">
        <x:v>0</x:v>
      </x:c>
      <x:c r="C33" t="str">
        <x:v>USD</x:v>
      </x:c>
      <x:c r="D33" t="str"/>
      <x:c r="E33" t="str">
        <x:v>Text only MVP</x:v>
      </x:c>
    </x:row>
    <x:row r="34">
      <x:c r="A34" s="10" t="str">
        <x:v>Infra / attempt</x:v>
      </x:c>
      <x:c r="B34" s="12" t="n">
        <x:v>0.001</x:v>
      </x:c>
      <x:c r="C34" t="str">
        <x:v>USD</x:v>
      </x:c>
      <x:c r="D34" t="str"/>
      <x:c r="E34" t="str">
        <x:v>Giả định bao gồm vector DB + PG + logs</x:v>
      </x:c>
    </x:row>
    <x:row r="35">
      <x:c r="A35" t="str">
        <x:v>Retry rate</x:v>
      </x:c>
      <x:c r="B35" s="12" t="n">
        <x:v>0.06</x:v>
      </x:c>
      <x:c r="C35" t="str">
        <x:v>ratio</x:v>
      </x:c>
      <x:c r="D35" t="str"/>
      <x:c r="E35" t="str">
        <x:v>Ước tính, chưa có logging thực tế</x:v>
      </x:c>
    </x:row>
    <x:row r="36">
      <x:c r="A36" s="10" t="str">
        <x:v>Retry / attempt</x:v>
      </x:c>
      <x:c r="B36" s="18" t="n">
        <x:f>B26*B35</x:f>
        <x:v>0.0007176</x:v>
      </x:c>
      <x:c r="C36" t="str">
        <x:v>USD</x:v>
      </x:c>
      <x:c r="D36" t="str"/>
      <x:c r="E36" t="str"/>
    </x:row>
    <x:row r="37">
      <x:c r="A37" t="str">
        <x:v>QA review share</x:v>
      </x:c>
      <x:c r="B37" s="12" t="n">
        <x:v>0.05</x:v>
      </x:c>
      <x:c r="C37" t="str">
        <x:v>ratio</x:v>
      </x:c>
      <x:c r="D37" t="str"/>
      <x:c r="E37" t="str"/>
    </x:row>
    <x:row r="38">
      <x:c r="A38" s="10" t="str">
        <x:v>QA minutes/review</x:v>
      </x:c>
      <x:c r="B38" s="12" t="n">
        <x:v>3</x:v>
      </x:c>
      <x:c r="C38" t="str">
        <x:v>minutes</x:v>
      </x:c>
      <x:c r="D38" t="str"/>
      <x:c r="E38" t="str"/>
    </x:row>
    <x:row r="39">
      <x:c r="A39" t="str">
        <x:v>QA hourly cost</x:v>
      </x:c>
      <x:c r="B39" s="12" t="n">
        <x:v>4.5</x:v>
      </x:c>
      <x:c r="C39" t="str">
        <x:v>USD/hour</x:v>
      </x:c>
      <x:c r="D39" t="str"/>
      <x:c r="E39" t="str"/>
    </x:row>
    <x:row r="40">
      <x:c r="A40" s="10" t="str">
        <x:v>QA cost / month</x:v>
      </x:c>
      <x:c r="B40" s="18" t="n">
        <x:f>B10*B37*B38/60*B39</x:f>
        <x:v>3.375</x:v>
      </x:c>
      <x:c r="C40" t="str">
        <x:v>USD</x:v>
      </x:c>
      <x:c r="D40" t="str"/>
      <x:c r="E40" t="str"/>
    </x:row>
    <x:row r="41">
      <x:c r="A41" t="str">
        <x:v>Vendor overhead / month</x:v>
      </x:c>
      <x:c r="B41" s="12" t="n">
        <x:v>350</x:v>
      </x:c>
      <x:c r="C41" t="str">
        <x:v>USD</x:v>
      </x:c>
      <x:c r="D41" t="str"/>
      <x:c r="E41" t="str">
        <x:v>R&amp;D 300 + hosting 50, cần tránh double count infra</x:v>
      </x:c>
    </x:row>
    <x:row r="42">
      <x:c r="A42" s="10" t="str">
        <x:v>Active workshop count</x:v>
      </x:c>
      <x:c r="B42" s="12" t="n">
        <x:v>3</x:v>
      </x:c>
      <x:c r="C42" t="str">
        <x:v>workshops</x:v>
      </x:c>
      <x:c r="D42" t="str"/>
      <x:c r="E42" t="str">
        <x:v>GIẢ ĐỊNH pilot, không phải khách hàng thật</x:v>
      </x:c>
    </x:row>
    <x:row r="43">
      <x:c r="A43" t="str">
        <x:v>Overhead / workshop</x:v>
      </x:c>
      <x:c r="B43" s="18" t="n">
        <x:f>B41/B42</x:f>
        <x:v>116.66666666666667</x:v>
      </x:c>
      <x:c r="C43" t="str">
        <x:v>USD</x:v>
      </x:c>
      <x:c r="D43" t="str"/>
      <x:c r="E43" t="str"/>
    </x:row>
    <x:row r="44">
      <x:c r="A44" s="10" t="str">
        <x:v>Variable cost / completed</x:v>
      </x:c>
      <x:c r="B44" s="18" t="n">
        <x:f>((B26+B33+B34+B36)*B10+B40)/B12</x:f>
        <x:v>0.03195846153846154</x:v>
      </x:c>
      <x:c r="C44" t="str">
        <x:v>USD</x:v>
      </x:c>
      <x:c r="D44" t="str"/>
      <x:c r="E44" t="str"/>
    </x:row>
    <x:row r="45">
      <x:c r="A45" t="str">
        <x:v>Fully-loaded cost / completed</x:v>
      </x:c>
      <x:c r="B45" s="18" t="n">
        <x:f>B44+B43/B12</x:f>
        <x:v>0.5305339601139601</x:v>
      </x:c>
      <x:c r="C45" t="str">
        <x:v>USD</x:v>
      </x:c>
      <x:c r="D45" t="str"/>
      <x:c r="E45" t="str"/>
    </x:row>
    <x:row r="46">
      <x:c r="A46" s="10" t="str">
        <x:v>Cost per completed in VND</x:v>
      </x:c>
      <x:c r="B46" s="18" t="n">
        <x:f>B45*'0_README'!B7</x:f>
        <x:v>13793.882962962964</x:v>
      </x:c>
      <x:c r="C46" t="str">
        <x:v>VND</x:v>
      </x:c>
      <x:c r="D46" t="str"/>
      <x:c r="E46" t="str"/>
    </x:row>
    <x:row r="48">
      <x:c r="A48" s="10" t="str">
        <x:v>Audit note</x:v>
      </x:c>
      <x:c r="B48" t="str">
        <x:v>Không cộng overhead R&amp;D/sales vào GM chuẩn nếu không phải COGS; trình bày cả contribution và fully-loaded margin.</x:v>
      </x:c>
      <x:c r="C48" t="str"/>
      <x:c r="D48" t="str"/>
      <x:c r="E48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3" hidden="0" customWidth="1"/>
    <x:col min="4" max="4" width="24" hidden="0" customWidth="1"/>
    <x:col min="5" max="5" width="60" hidden="0" customWidth="1"/>
  </x:cols>
  <x:sheetData>
    <x:row r="1" ht="33" customHeight="1">
      <x:c r="A1" s="3" t="str">
        <x:v>2 • PRICING &amp; SCENARIOS</x:v>
      </x:c>
      <x:c r="B1" s="3" t="str"/>
      <x:c r="C1" s="3" t="str"/>
      <x:c r="D1" s="3" t="str"/>
      <x:c r="E1" s="3" t="str"/>
    </x:row>
    <x:row r="2" ht="30" customHeight="1">
      <x:c r="A2" s="7" t="str">
        <x:v>GM kế toán chưa xác định vì phân loại hosting/QA/R&amp;D; dưới đây là conservative fully-loaded margin.</x:v>
      </x:c>
      <x:c r="B2" s="7" t="str"/>
      <x:c r="C2" s="7" t="str"/>
      <x:c r="D2" s="7" t="str"/>
      <x:c r="E2" s="7" t="str"/>
    </x:row>
    <x:row r="4" ht="22" customHeight="1">
      <x:c r="A4" s="15" t="str">
        <x:v>OFFER</x:v>
      </x:c>
      <x:c r="B4" s="15" t="str"/>
      <x:c r="C4" s="15" t="str"/>
      <x:c r="D4" s="15" t="str"/>
      <x:c r="E4" s="15" t="str"/>
    </x:row>
    <x:row r="5">
      <x:c r="A5" t="str">
        <x:v>Base fee/workshop/month</x:v>
      </x:c>
      <x:c r="B5" s="12" t="n">
        <x:v>1500000</x:v>
      </x:c>
      <x:c r="C5" t="str">
        <x:v>VND</x:v>
      </x:c>
      <x:c r="D5" t="str"/>
      <x:c r="E5" t="str">
        <x:v>Chưa xác minh willingness to pay</x:v>
      </x:c>
    </x:row>
    <x:row r="6">
      <x:c r="A6" s="10" t="str">
        <x:v>Fee/confirmed booking</x:v>
      </x:c>
      <x:c r="B6" s="12" t="n">
        <x:v>15000</x:v>
      </x:c>
      <x:c r="C6" t="str">
        <x:v>VND</x:v>
      </x:c>
      <x:c r="D6" t="str"/>
      <x:c r="E6" t="str"/>
    </x:row>
    <x:row r="7">
      <x:c r="A7" t="str">
        <x:v>Exchange rate</x:v>
      </x:c>
      <x:c r="B7" s="18" t="n">
        <x:f>'0_README'!B7</x:f>
        <x:v>26000</x:v>
      </x:c>
      <x:c r="C7" t="str">
        <x:v>VND/USD</x:v>
      </x:c>
      <x:c r="D7" t="str"/>
      <x:c r="E7" t="str"/>
    </x:row>
    <x:row r="8">
      <x:c r="A8" s="10" t="str">
        <x:v>Variable floor (3×)</x:v>
      </x:c>
      <x:c r="B8" s="18" t="n">
        <x:f>3*'1_Cost_Job'!B44*B7</x:f>
        <x:v>2492.7599999999998</x:v>
      </x:c>
      <x:c r="C8" t="str">
        <x:v>VND/booking</x:v>
      </x:c>
      <x:c r="D8" t="str"/>
      <x:c r="E8" t="str"/>
    </x:row>
    <x:row r="9">
      <x:c r="A9" t="str">
        <x:v>Fully loaded floor (3×)</x:v>
      </x:c>
      <x:c r="B9" s="18" t="n">
        <x:f>3*'1_Cost_Job'!B45*B7</x:f>
        <x:v>41381.64888888889</x:v>
      </x:c>
      <x:c r="C9" t="str">
        <x:v>VND/booking</x:v>
      </x:c>
      <x:c r="D9" t="str"/>
      <x:c r="E9" t="str"/>
    </x:row>
    <x:row r="10">
      <x:c r="A10" s="10" t="str">
        <x:v>Revenue/month</x:v>
      </x:c>
      <x:c r="B10" s="18" t="n">
        <x:f>B5+'1_Cost_Job'!B12*B6</x:f>
        <x:v>5010000</x:v>
      </x:c>
      <x:c r="C10" t="str">
        <x:v>VND</x:v>
      </x:c>
      <x:c r="D10" t="str"/>
      <x:c r="E10" t="str"/>
    </x:row>
    <x:row r="11">
      <x:c r="A11" t="str">
        <x:v>Monthly variable cost</x:v>
      </x:c>
      <x:c r="B11" s="18" t="n">
        <x:f>'1_Cost_Job'!B44*'1_Cost_Job'!B12*B7</x:f>
        <x:v>194435.28000000003</x:v>
      </x:c>
      <x:c r="C11" t="str">
        <x:v>VND</x:v>
      </x:c>
      <x:c r="D11" t="str"/>
      <x:c r="E11" t="str"/>
    </x:row>
    <x:row r="12">
      <x:c r="A12" s="10" t="str">
        <x:v>Overhead allocated</x:v>
      </x:c>
      <x:c r="B12" s="18" t="n">
        <x:f>'1_Cost_Job'!B43*B7</x:f>
        <x:v>3033333.3333333335</x:v>
      </x:c>
      <x:c r="C12" t="str">
        <x:v>VND</x:v>
      </x:c>
      <x:c r="D12" t="str"/>
      <x:c r="E12" t="str"/>
    </x:row>
    <x:row r="13">
      <x:c r="A13" t="str">
        <x:v>Fully-loaded cost/month</x:v>
      </x:c>
      <x:c r="B13" s="18" t="n">
        <x:f>B11+B12</x:f>
        <x:v>3227768.6133333333</x:v>
      </x:c>
      <x:c r="C13" t="str">
        <x:v>VND</x:v>
      </x:c>
      <x:c r="D13" t="str"/>
      <x:c r="E13" t="str"/>
    </x:row>
    <x:row r="14">
      <x:c r="A14" s="10" t="str">
        <x:v>Fully-loaded margin (NOT formal GM)</x:v>
      </x:c>
      <x:c r="B14" s="18" t="n">
        <x:f>(B10-B13)/B10</x:f>
        <x:v>0.35573480771789756</x:v>
      </x:c>
      <x:c r="C14" t="str">
        <x:v>ratio</x:v>
      </x:c>
      <x:c r="D14" t="str"/>
      <x:c r="E14" t="str"/>
    </x:row>
    <x:row r="15">
      <x:c r="A15" t="str">
        <x:v>Contribution margin before overhead</x:v>
      </x:c>
      <x:c r="B15" s="18" t="n">
        <x:f>(B10-B11)/B10</x:f>
        <x:v>0.9611905628742514</x:v>
      </x:c>
      <x:c r="C15" t="str">
        <x:v>ratio</x:v>
      </x:c>
      <x:c r="D15" t="str"/>
      <x:c r="E15" t="str"/>
    </x:row>
    <x:row r="16">
      <x:c r="A16" s="10" t="str">
        <x:v>Threshold</x:v>
      </x:c>
      <x:c r="B16" s="12" t="n">
        <x:v>0.6</x:v>
      </x:c>
      <x:c r="C16" t="str">
        <x:v>ratio</x:v>
      </x:c>
      <x:c r="D16" t="str"/>
      <x:c r="E16" t="str">
        <x:v>Bài lab yêu cầu &gt;=60%</x:v>
      </x:c>
    </x:row>
    <x:row r="17">
      <x:c r="A17" t="str">
        <x:v>Breakeven completed bookings</x:v>
      </x:c>
      <x:c r="B17" s="18" t="n">
        <x:f>ROUNDUP((B12-B16*B5)/((1-B16)*B6-'1_Cost_Job'!B44*B7),0)</x:f>
        <x:v>413</x:v>
      </x:c>
      <x:c r="C17" t="str">
        <x:v>completed/month</x:v>
      </x:c>
      <x:c r="D17" t="str"/>
      <x:c r="E17" t="str">
        <x:v>Ngưỡng fully-loaded &gt;=60%</x:v>
      </x:c>
    </x:row>
    <x:row r="18">
      <x:c r="A18" s="10" t="str">
        <x:v>Required containment at 300 attempts</x:v>
      </x:c>
      <x:c r="B18" s="18" t="n">
        <x:f>B17/'1_Cost_Job'!B10</x:f>
        <x:v>1.3766666666666667</x:v>
      </x:c>
      <x:c r="C18" t="str">
        <x:v>ratio</x:v>
      </x:c>
      <x:c r="D18" t="str"/>
      <x:c r="E18" t="str">
        <x:v>Trên 100% nghĩa là bất khả thi</x:v>
      </x:c>
    </x:row>
    <x:row r="19">
      <x:c r="A19" t="str">
        <x:v>Attempts needed at CR assumption</x:v>
      </x:c>
      <x:c r="B19" s="18" t="n">
        <x:f>ROUNDUP(B17/'1_Cost_Job'!B11,0)</x:f>
        <x:v>530</x:v>
      </x:c>
      <x:c r="C19" t="str">
        <x:v>attempts/month</x:v>
      </x:c>
      <x:c r="D19" t="str"/>
      <x:c r="E19" t="str"/>
    </x:row>
    <x:row r="20">
      <x:c r="A20" s="10" t="str">
        <x:v>CAC budget USD (12m payback)</x:v>
      </x:c>
      <x:c r="B20" s="18" t="n">
        <x:f>B10/B7*B14*12</x:f>
        <x:v>822.5683323076923</x:v>
      </x:c>
      <x:c r="C20" t="str">
        <x:v>USD</x:v>
      </x:c>
      <x:c r="D20" t="str"/>
      <x:c r="E20" t="str">
        <x:v>Dùng margin fully-loaded; giả định 12 tháng</x:v>
      </x:c>
    </x:row>
    <x:row r="21">
      <x:c r="A21" t="str">
        <x:v>Formal GM status</x:v>
      </x:c>
      <x:c r="B21" t="str">
        <x:v>Chưa tính chuẩn</x:v>
      </x:c>
      <x:c r="C21" t="str"/>
      <x:c r="D21" t="str"/>
      <x:c r="E21" t="str">
        <x:v>Cần tách COGS khỏi R&amp;D/sales; tránh gọi margin đầy tải là GM.</x:v>
      </x:c>
    </x:row>
    <x:row r="23" ht="22" customHeight="1">
      <x:c r="A23" s="15" t="str">
        <x:v>VOLUME SENSITIVITY (300–800 attempts / month / workshop)</x:v>
      </x:c>
      <x:c r="B23" s="15" t="str"/>
      <x:c r="C23" s="15" t="str"/>
      <x:c r="D23" s="15" t="str"/>
      <x:c r="E23" s="15" t="str"/>
    </x:row>
    <x:row r="24">
      <x:c r="A24" s="20" t="str">
        <x:v>Attempts</x:v>
      </x:c>
      <x:c r="B24" s="20" t="str">
        <x:v>Confirmed</x:v>
      </x:c>
      <x:c r="C24" s="20" t="str">
        <x:v>Revenue (VND)</x:v>
      </x:c>
      <x:c r="D24" s="20" t="str">
        <x:v>Fully loaded cost</x:v>
      </x:c>
      <x:c r="E24" s="20" t="str">
        <x:v>Fully loaded margin</x:v>
      </x:c>
    </x:row>
    <x:row r="25">
      <x:c r="A25" t="n">
        <x:v>300</x:v>
      </x:c>
      <x:c r="B25" t="n">
        <x:f>A25*'1_Cost_Job'!B11</x:f>
        <x:v>234</x:v>
      </x:c>
      <x:c r="C25" t="n">
        <x:f>B5+B25*B6</x:f>
        <x:v>5010000</x:v>
      </x:c>
      <x:c r="D25" t="n">
        <x:f>B12+A25*('1_Cost_Job'!B26+'1_Cost_Job'!B33+'1_Cost_Job'!B34+'1_Cost_Job'!B36)*B7+A25*'1_Cost_Job'!B37*'1_Cost_Job'!B38/60*'1_Cost_Job'!B39*B7</x:f>
        <x:v>3227768.6133333333</x:v>
      </x:c>
      <x:c r="E25" t="n">
        <x:f>(C25-D25)/C25</x:f>
        <x:v>0.35573480771789756</x:v>
      </x:c>
    </x:row>
    <x:row r="26">
      <x:c r="A26" t="n">
        <x:v>400</x:v>
      </x:c>
      <x:c r="B26" t="n">
        <x:f>A26*'1_Cost_Job'!B11</x:f>
        <x:v>312</x:v>
      </x:c>
      <x:c r="C26" t="n">
        <x:f>B5+B26*B6</x:f>
        <x:v>6180000</x:v>
      </x:c>
      <x:c r="D26" t="n">
        <x:f>B12+A26*('1_Cost_Job'!B26+'1_Cost_Job'!B33+'1_Cost_Job'!B34+'1_Cost_Job'!B36)*B7+A26*'1_Cost_Job'!B37*'1_Cost_Job'!B38/60*'1_Cost_Job'!B39*B7</x:f>
        <x:v>3292580.3733333335</x:v>
      </x:c>
      <x:c r="E26" t="n">
        <x:f>(C26-D26)/C26</x:f>
        <x:v>0.46722000431499455</x:v>
      </x:c>
    </x:row>
    <x:row r="27">
      <x:c r="A27" t="n">
        <x:v>500</x:v>
      </x:c>
      <x:c r="B27" t="n">
        <x:f>A27*'1_Cost_Job'!B11</x:f>
        <x:v>390</x:v>
      </x:c>
      <x:c r="C27" t="n">
        <x:f>B5+B27*B6</x:f>
        <x:v>7350000</x:v>
      </x:c>
      <x:c r="D27" t="n">
        <x:f>B12+A27*('1_Cost_Job'!B26+'1_Cost_Job'!B33+'1_Cost_Job'!B34+'1_Cost_Job'!B36)*B7+A27*'1_Cost_Job'!B37*'1_Cost_Job'!B38/60*'1_Cost_Job'!B39*B7</x:f>
        <x:v>3357392.1333333333</x:v>
      </x:c>
      <x:c r="E27" t="n">
        <x:f>(C27-D27)/C27</x:f>
        <x:v>0.5432119546485261</x:v>
      </x:c>
    </x:row>
    <x:row r="28">
      <x:c r="A28" t="n">
        <x:v>600</x:v>
      </x:c>
      <x:c r="B28" t="n">
        <x:f>A28*'1_Cost_Job'!B11</x:f>
        <x:v>468</x:v>
      </x:c>
      <x:c r="C28" t="n">
        <x:f>B5+B28*B6</x:f>
        <x:v>8520000</x:v>
      </x:c>
      <x:c r="D28" t="n">
        <x:f>B12+A28*('1_Cost_Job'!B26+'1_Cost_Job'!B33+'1_Cost_Job'!B34+'1_Cost_Job'!B36)*B7+A28*'1_Cost_Job'!B37*'1_Cost_Job'!B38/60*'1_Cost_Job'!B39*B7</x:f>
        <x:v>3422203.8933333335</x:v>
      </x:c>
      <x:c r="E28" t="n">
        <x:f>(C28-D28)/C28</x:f>
        <x:v>0.5983328763693271</x:v>
      </x:c>
    </x:row>
    <x:row r="29">
      <x:c r="A29" t="n">
        <x:v>700</x:v>
      </x:c>
      <x:c r="B29" t="n">
        <x:f>A29*'1_Cost_Job'!B11</x:f>
        <x:v>546</x:v>
      </x:c>
      <x:c r="C29" t="n">
        <x:f>B5+B29*B6</x:f>
        <x:v>9690000</x:v>
      </x:c>
      <x:c r="D29" t="n">
        <x:f>B12+A29*('1_Cost_Job'!B26+'1_Cost_Job'!B33+'1_Cost_Job'!B34+'1_Cost_Job'!B36)*B7+A29*'1_Cost_Job'!B37*'1_Cost_Job'!B38/60*'1_Cost_Job'!B39*B7</x:f>
        <x:v>3487015.6533333333</x:v>
      </x:c>
      <x:c r="E29" t="n">
        <x:f>(C29-D29)/C29</x:f>
        <x:v>0.6401428634330926</x:v>
      </x:c>
    </x:row>
    <x:row r="30">
      <x:c r="A30" t="n">
        <x:v>800</x:v>
      </x:c>
      <x:c r="B30" t="n">
        <x:f>A30*'1_Cost_Job'!B11</x:f>
        <x:v>624</x:v>
      </x:c>
      <x:c r="C30" t="n">
        <x:f>B5+B30*B6</x:f>
        <x:v>10860000</x:v>
      </x:c>
      <x:c r="D30" t="n">
        <x:f>B12+A30*('1_Cost_Job'!B26+'1_Cost_Job'!B33+'1_Cost_Job'!B34+'1_Cost_Job'!B36)*B7+A30*'1_Cost_Job'!B37*'1_Cost_Job'!B38/60*'1_Cost_Job'!B39*B7</x:f>
        <x:v>3551827.4133333336</x:v>
      </x:c>
      <x:c r="E30" t="n">
        <x:f>(C30-D30)/C30</x:f>
        <x:v>0.6729440687538366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3" hidden="0" customWidth="1"/>
    <x:col min="4" max="4" width="24" hidden="0" customWidth="1"/>
    <x:col min="5" max="5" width="60" hidden="0" customWidth="1"/>
  </x:cols>
  <x:sheetData>
    <x:row r="1" ht="33" customHeight="1">
      <x:c r="A1" s="3" t="str">
        <x:v>3 • VALUE METRIC</x:v>
      </x:c>
      <x:c r="B1" s="3" t="str"/>
      <x:c r="C1" s="3" t="str"/>
      <x:c r="D1" s="3" t="str"/>
      <x:c r="E1" s="3" t="str"/>
    </x:row>
    <x:row r="2" ht="30" customHeight="1">
      <x:c r="A2" s="7" t="str">
        <x:v>Attribution 19/25; Autonomy 14/25 là tự chấm từ bản gốc — chưa được audit độc lập.</x:v>
      </x:c>
      <x:c r="B2" s="7" t="str"/>
      <x:c r="C2" s="7" t="str"/>
      <x:c r="D2" s="7" t="str"/>
      <x:c r="E2" s="7" t="str"/>
    </x:row>
    <x:row r="4">
      <x:c r="A4" s="10" t="str">
        <x:v>Attribution</x:v>
      </x:c>
      <x:c r="B4" t="str">
        <x:v>19/25 (chủ quan)</x:v>
      </x:c>
      <x:c r="C4" t="str"/>
      <x:c r="D4" t="str"/>
      <x:c r="E4" t="str"/>
    </x:row>
    <x:row r="5">
      <x:c r="A5" t="str">
        <x:v>Autonomy</x:v>
      </x:c>
      <x:c r="B5" t="str">
        <x:v>14/25 (cần 2 HITL)</x:v>
      </x:c>
      <x:c r="C5" t="str"/>
      <x:c r="D5" t="str"/>
      <x:c r="E5" t="str"/>
    </x:row>
    <x:row r="6">
      <x:c r="A6" s="10" t="str">
        <x:v>Matrix default</x:v>
      </x:c>
      <x:c r="B6" t="str">
        <x:v>Usage</x:v>
      </x:c>
      <x:c r="C6" t="str"/>
      <x:c r="D6" t="str"/>
      <x:c r="E6" t="str"/>
    </x:row>
    <x:row r="7">
      <x:c r="A7" t="str">
        <x:v>Selected</x:v>
      </x:c>
      <x:c r="B7" t="str">
        <x:v>Hybrid – base fee + confirmed booking</x:v>
      </x:c>
      <x:c r="C7" t="str"/>
      <x:c r="D7" t="str"/>
      <x:c r="E7" t="str"/>
    </x:row>
    <x:row r="8">
      <x:c r="A8" s="10" t="str">
        <x:v>Decision note</x:v>
      </x:c>
      <x:c r="B8" t="str">
        <x:v>Usage phù hợp autonomy trung bình; Hybrid tạo mức phí dự đoán được và chia rủi ro volume.</x:v>
      </x:c>
      <x:c r="C8" t="str"/>
      <x:c r="D8" t="str"/>
      <x:c r="E8" t="str"/>
    </x:row>
    <x:row r="10">
      <x:c r="A10" s="10" t="str">
        <x:v>Intercom Fin</x:v>
      </x:c>
      <x:c r="B10" t="str">
        <x:v>Outcome-based / resolution; https://fin.ai/pricing/</x:v>
      </x:c>
      <x:c r="C10" t="str"/>
      <x:c r="D10" t="str"/>
      <x:c r="E10" t="str"/>
    </x:row>
    <x:row r="11">
      <x:c r="A11" t="str">
        <x:v>Salesforce Agentforce</x:v>
      </x:c>
      <x:c r="B11" t="str">
        <x:v>Flex Credits: $500/100k credits; 20 credits/action ≈ $0.10/action; $5/user/month license requires credits</x:v>
      </x:c>
      <x:c r="C11" t="str"/>
      <x:c r="D11" t="str"/>
      <x:c r="E11" t="str"/>
    </x:row>
    <x:row r="12">
      <x:c r="A12" s="10" t="str">
        <x:v>Official source</x:v>
      </x:c>
      <x:c r="B12" t="str">
        <x:v>https://www.salesforce.com/agentforce/pricing/</x:v>
      </x:c>
      <x:c r="C12" t="str"/>
      <x:c r="D12" t="str"/>
      <x:c r="E12" t="str"/>
    </x:row>
    <x:row r="14">
      <x:c r="A14" s="10" t="str">
        <x:v>Metric proof</x:v>
      </x:c>
      <x:c r="B14" t="str">
        <x:v>booking.status CONFIRMED + unique booking ID; cần chống double billing khi state changes</x:v>
      </x:c>
      <x:c r="C14" t="str"/>
      <x:c r="D14" t="str"/>
      <x:c r="E14" t="str"/>
    </x:row>
    <x:row r="15">
      <x:c r="A15" t="str">
        <x:v>Data caveat</x:v>
      </x:c>
      <x:c r="B15" t="str">
        <x:v>Smoke test kỹ thuật chưa chứng minh attribution causal hoặc autonomous outcomes</x:v>
      </x:c>
      <x:c r="C15" t="str"/>
      <x:c r="D15" t="str"/>
      <x:c r="E15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3" hidden="0" customWidth="1"/>
    <x:col min="4" max="4" width="24" hidden="0" customWidth="1"/>
    <x:col min="5" max="5" width="60" hidden="0" customWidth="1"/>
  </x:cols>
  <x:sheetData>
    <x:row r="1" ht="33" customHeight="1">
      <x:c r="A1" s="3" t="str">
        <x:v>4 • CHANNEL FIT</x:v>
      </x:c>
      <x:c r="B1" s="3" t="str"/>
      <x:c r="C1" s="3" t="str"/>
      <x:c r="D1" s="3" t="str"/>
      <x:c r="E1" s="3" t="str"/>
    </x:row>
    <x:row r="2" ht="30" customHeight="1">
      <x:c r="A2" s="7" t="str">
        <x:v>Kênh duy nhất lựa chọn để mở rộng: Partner-led; founder outreach là hoạt động tạo bằng chứng trước đối tác.</x:v>
      </x:c>
      <x:c r="B2" s="7" t="str"/>
      <x:c r="C2" s="7" t="str"/>
      <x:c r="D2" s="7" t="str"/>
      <x:c r="E2" s="7" t="str"/>
    </x:row>
    <x:row r="4">
      <x:c r="A4" s="10" t="str">
        <x:v>Target customer</x:v>
      </x:c>
      <x:c r="B4" t="str">
        <x:v>Xưởng dịch vụ VinFast; chưa xác nhận willingness-to-pay</x:v>
      </x:c>
      <x:c r="C4" t="str"/>
      <x:c r="D4" t="str"/>
      <x:c r="E4" t="str"/>
    </x:row>
    <x:row r="5">
      <x:c r="A5" t="str">
        <x:v>Chosen GTM channel</x:v>
      </x:c>
      <x:c r="B5" t="str">
        <x:v>Partner-led / VinFast Service Network (CHƯA liên hệ)</x:v>
      </x:c>
      <x:c r="C5" t="str"/>
      <x:c r="D5" t="str"/>
      <x:c r="E5" t="str"/>
    </x:row>
    <x:row r="6">
      <x:c r="A6" s="10" t="str">
        <x:v>Phase 1</x:v>
      </x:c>
      <x:c r="B6" t="str">
        <x:v>Founder trực tiếp tuyển pilot 2 xưởng; KHÔNG triển khai đội AE</x:v>
      </x:c>
      <x:c r="C6" t="str"/>
      <x:c r="D6" t="str"/>
      <x:c r="E6" t="str"/>
    </x:row>
    <x:row r="7">
      <x:c r="A7" t="str">
        <x:v>ARPU (USD)</x:v>
      </x:c>
      <x:c r="B7" t="n">
        <x:f>'2_Pricing'!B10/'2_Pricing'!B7</x:f>
        <x:v>192.69230769230768</x:v>
      </x:c>
      <x:c r="C7" t="str"/>
      <x:c r="D7" t="str"/>
      <x:c r="E7" t="str"/>
    </x:row>
    <x:row r="8">
      <x:c r="A8" s="10" t="str">
        <x:v>CAC budget (USD)</x:v>
      </x:c>
      <x:c r="B8" t="n">
        <x:f>'2_Pricing'!B20</x:f>
        <x:v>822.5683323076923</x:v>
      </x:c>
      <x:c r="C8" t="str"/>
      <x:c r="D8" t="str"/>
      <x:c r="E8" t="str"/>
    </x:row>
    <x:row r="9">
      <x:c r="A9" t="str">
        <x:v>Full-cycle CAC assumption</x:v>
      </x:c>
      <x:c r="B9" s="12" t="n">
        <x:v>25200</x:v>
      </x:c>
      <x:c r="C9" t="str"/>
      <x:c r="D9" t="str"/>
      <x:c r="E9" t="str"/>
    </x:row>
    <x:row r="10">
      <x:c r="A10" s="10" t="str">
        <x:v>CAC over budget</x:v>
      </x:c>
      <x:c r="B10" t="n">
        <x:f>B9/B8</x:f>
        <x:v>30.635752690967458</x:v>
      </x:c>
      <x:c r="C10" t="str"/>
      <x:c r="D10" t="str"/>
      <x:c r="E10" t="str"/>
    </x:row>
    <x:row r="11">
      <x:c r="A11" t="str">
        <x:v>AE quota/year</x:v>
      </x:c>
      <x:c r="B11" s="12" t="n">
        <x:v>200000</x:v>
      </x:c>
      <x:c r="C11" t="str"/>
      <x:c r="D11" t="str"/>
      <x:c r="E11" t="str"/>
    </x:row>
    <x:row r="12">
      <x:c r="A12" s="10" t="str">
        <x:v>Quota attainment</x:v>
      </x:c>
      <x:c r="B12" s="12" t="n">
        <x:v>0.75</x:v>
      </x:c>
      <x:c r="C12" t="str"/>
      <x:c r="D12" t="str"/>
      <x:c r="E12" t="str"/>
    </x:row>
    <x:row r="13">
      <x:c r="A13" t="str">
        <x:v>Working days/year</x:v>
      </x:c>
      <x:c r="B13" s="12" t="n">
        <x:v>240</x:v>
      </x:c>
      <x:c r="C13" t="str"/>
      <x:c r="D13" t="str"/>
      <x:c r="E13" t="str"/>
    </x:row>
    <x:row r="14">
      <x:c r="A14" s="10" t="str">
        <x:v>Deals/AE/day</x:v>
      </x:c>
      <x:c r="B14" t="n">
        <x:f>B11*B12/(B7*12)/B13</x:f>
        <x:v>0.270292747837658</x:v>
      </x:c>
      <x:c r="C14" t="str"/>
      <x:c r="D14" t="str"/>
      <x:c r="E14" t="str"/>
    </x:row>
    <x:row r="15">
      <x:c r="A15" t="str">
        <x:v>PLG subjective score</x:v>
      </x:c>
      <x:c r="B15" s="12" t="n">
        <x:v>17</x:v>
      </x:c>
      <x:c r="C15" t="str"/>
      <x:c r="D15" t="str"/>
      <x:c r="E15" t="str"/>
    </x:row>
    <x:row r="16">
      <x:c r="A16" s="10" t="str">
        <x:v>Sales-led subjective score</x:v>
      </x:c>
      <x:c r="B16" s="12" t="n">
        <x:v>20</x:v>
      </x:c>
      <x:c r="C16" t="str"/>
      <x:c r="D16" t="str"/>
      <x:c r="E16" t="str"/>
    </x:row>
    <x:row r="17">
      <x:c r="A17" t="str">
        <x:v>Partner-led subjective score</x:v>
      </x:c>
      <x:c r="B17" s="12" t="n">
        <x:v>28</x:v>
      </x:c>
      <x:c r="C17" t="str"/>
      <x:c r="D17" t="str"/>
      <x:c r="E17" t="str"/>
    </x:row>
    <x:row r="18">
      <x:c r="A18" s="10" t="str">
        <x:v>Partner risk</x:v>
      </x:c>
      <x:c r="B18" t="str">
        <x:v>Chưa có thỏa thuận phân phối, chia doanh thu 70/30 chỉ là kịch bản</x:v>
      </x:c>
      <x:c r="C18" t="str"/>
      <x:c r="D18" t="str"/>
      <x:c r="E18" t="str"/>
    </x:row>
    <x:row r="19">
      <x:c r="A19" t="str">
        <x:v>CAC $25,200 caution</x:v>
      </x:c>
      <x:c r="B19" t="str">
        <x:v>Benchmark không chứng minh áp dụng trực tiếp cho xưởng Việt Nam; cần báo giá/số thật</x:v>
      </x:c>
      <x:c r="C19" t="str"/>
      <x:c r="D19" t="str"/>
      <x:c r="E19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3" hidden="0" customWidth="1"/>
    <x:col min="4" max="4" width="24" hidden="0" customWidth="1"/>
    <x:col min="5" max="5" width="60" hidden="0" customWidth="1"/>
  </x:cols>
  <x:sheetData>
    <x:row r="1" ht="33" customHeight="1">
      <x:c r="A1" s="3" t="str">
        <x:v>5 • PAIN MOMENT / PLAN / EVIDENCE</x:v>
      </x:c>
      <x:c r="B1" s="3" t="str"/>
      <x:c r="C1" s="3" t="str"/>
      <x:c r="D1" s="3" t="str"/>
      <x:c r="E1" s="3" t="str"/>
    </x:row>
    <x:row r="2" ht="30" customHeight="1">
      <x:c r="A2" s="7" t="str">
        <x:v>Mốc ngày kế hoạch dự kiến, không phải dữ liệu đã thực hiện.</x:v>
      </x:c>
      <x:c r="B2" s="7" t="str"/>
      <x:c r="C2" s="7" t="str"/>
      <x:c r="D2" s="7" t="str"/>
      <x:c r="E2" s="7" t="str"/>
    </x:row>
    <x:row r="4">
      <x:c r="A4" s="10" t="str">
        <x:v>Pain moment</x:v>
      </x:c>
      <x:c r="B4" t="str">
        <x:v>8:30 thứ Hai, cố vấn nhận 5–7 xe; tra Excel/sổ; chưa có hạng mục và phụ tùng trước</x:v>
      </x:c>
      <x:c r="C4" t="str"/>
      <x:c r="D4" t="str"/>
      <x:c r="E4" t="str"/>
    </x:row>
    <x:row r="5">
      <x:c r="A5" t="str">
        <x:v>Entry point</x:v>
      </x:c>
      <x:c r="B5" t="str">
        <x:v>Dashboard web advisor – xem booking trước khi tiếp nhận</x:v>
      </x:c>
      <x:c r="C5" t="str"/>
      <x:c r="D5" t="str"/>
      <x:c r="E5" t="str"/>
    </x:row>
    <x:row r="7">
      <x:c r="A7" t="str">
        <x:v>Month 1 (Nov 2026)</x:v>
      </x:c>
      <x:c r="B7" t="str">
        <x:v>Tuyển 2 xưởng pilot; ≥50 confirmed; khảo sát mức hài lòng (không gọi NPS nếu chỉ 1–10 điểm)</x:v>
      </x:c>
      <x:c r="C7" t="str"/>
      <x:c r="D7" t="str"/>
      <x:c r="E7" t="str"/>
    </x:row>
    <x:row r="8">
      <x:c r="A8" s="10" t="str">
        <x:v>Month 2 (Dec 2026)</x:v>
      </x:c>
      <x:c r="B8" t="str">
        <x:v>Viết onboarding; thêm xưởng; đo volume và QA; người phụ trách: founder</x:v>
      </x:c>
      <x:c r="C8" t="str"/>
      <x:c r="D8" t="str"/>
      <x:c r="E8" t="str"/>
    </x:row>
    <x:row r="9">
      <x:c r="A9" t="str">
        <x:v>Month 3 (Jan 2027)</x:v>
      </x:c>
      <x:c r="B9" t="str">
        <x:v>Mục tiêu tổng 5 xưởng và ≥150 booking/tháng; giữ retention</x:v>
      </x:c>
      <x:c r="C9" t="str"/>
      <x:c r="D9" t="str"/>
      <x:c r="E9" t="str"/>
    </x:row>
    <x:row r="10">
      <x:c r="A10" s="10" t="str">
        <x:v>Month 4+ (Feb 2027)</x:v>
      </x:c>
      <x:c r="B10" t="str">
        <x:v>Chỉ tiếp cận Partner-led khi pilot đạt, có báo cáo và consent</x:v>
      </x:c>
      <x:c r="C10" t="str"/>
      <x:c r="D10" t="str"/>
      <x:c r="E10" t="str"/>
    </x:row>
    <x:row r="12">
      <x:c r="A12" s="10" t="str">
        <x:v>Eval – currently</x:v>
      </x:c>
      <x:c r="B12" t="str">
        <x:v>9/9 API smoke tests + 702 pytest (tự khai, chưa xác minh repo); CR 78% là ước tính</x:v>
      </x:c>
      <x:c r="C12" t="str"/>
      <x:c r="D12" t="str"/>
      <x:c r="E12" t="str"/>
    </x:row>
    <x:row r="13">
      <x:c r="A13" t="str">
        <x:v>Eval – pending</x:v>
      </x:c>
      <x:c r="B13" t="str">
        <x:v>50 ca chat với LLM thật; owner: founder; deadline 15/10/2026</x:v>
      </x:c>
      <x:c r="C13" t="str"/>
      <x:c r="D13" t="str"/>
      <x:c r="E13" t="str"/>
    </x:row>
    <x:row r="14">
      <x:c r="A14" s="10" t="str">
        <x:v>Procurement Q&amp;A</x:v>
      </x:c>
      <x:c r="B14" t="str">
        <x:v>Chưa có văn bản chính thức; cần chính sách dữ liệu được kiểm chứng; deadline 12/10/2026</x:v>
      </x:c>
      <x:c r="C14" t="str"/>
      <x:c r="D14" t="str"/>
      <x:c r="E14" t="str"/>
    </x:row>
    <x:row r="15">
      <x:c r="A15" t="str">
        <x:v>Pilot report</x:v>
      </x:c>
      <x:c r="B15" t="str">
        <x:v>Chưa có; liên hệ xưởng trước pilot; dự kiến báo cáo 15/11/2026</x:v>
      </x:c>
      <x:c r="C15" t="str"/>
      <x:c r="D15" t="str"/>
      <x:c r="E15" t="str"/>
    </x:row>
    <x:row r="16">
      <x:c r="A16" s="10" t="str">
        <x:v>Risk</x:v>
      </x:c>
      <x:c r="B16" t="str">
        <x:v>Ngày bắt đầu pilot 15/10 và mục tiêu onboarding tháng 11 cần đồng bộ</x:v>
      </x:c>
      <x:c r="C16" t="str"/>
      <x:c r="D16" t="str"/>
      <x:c r="E16" t="str"/>
    </x:row>
    <x:row r="17">
      <x:c r="A17" t="str">
        <x:v>Security</x:v>
      </x:c>
      <x:c r="B17" t="str">
        <x:v>Không khẳng định Gemini API hay Neon đảm bảo điều khoản dữ liệu nếu chưa xác nhận cấu hình/gói</x:v>
      </x:c>
      <x:c r="C17" t="str"/>
      <x:c r="D17" t="str"/>
      <x:c r="E17" t="str"/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2" hidden="0" customWidth="1"/>
    <x:col min="3" max="3" width="23" hidden="0" customWidth="1"/>
    <x:col min="4" max="4" width="24" hidden="0" customWidth="1"/>
    <x:col min="5" max="5" width="60" hidden="0" customWidth="1"/>
  </x:cols>
  <x:sheetData>
    <x:row r="1" ht="33" customHeight="1">
      <x:c r="A1" s="3" t="str">
        <x:v>6 • BENCHMARK &amp; REFERENCES</x:v>
      </x:c>
      <x:c r="B1" s="3" t="str"/>
      <x:c r="C1" s="3" t="str"/>
      <x:c r="D1" s="3" t="str"/>
      <x:c r="E1" s="3" t="str"/>
    </x:row>
    <x:row r="2" ht="30" customHeight="1">
      <x:c r="A2" s="7" t="str">
        <x:v>Giá bên dưới từ nguồn Google/Salesforce được đối chiếu ngày 08/10/2026; những giá khác chưa xác minh.</x:v>
      </x:c>
      <x:c r="B2" s="7" t="str"/>
      <x:c r="C2" s="7" t="str"/>
      <x:c r="D2" s="7" t="str"/>
      <x:c r="E2" s="7" t="str"/>
    </x:row>
    <x:row r="4">
      <x:c r="A4" s="10" t="str">
        <x:v>Gemini 2.5 Flash input</x:v>
      </x:c>
      <x:c r="B4" s="12" t="n">
        <x:v>0.3</x:v>
      </x:c>
      <x:c r="C4" t="str">
        <x:v>USD/1M</x:v>
      </x:c>
      <x:c r="D4" t="str"/>
      <x:c r="E4" t="str">
        <x:v>https://ai.google.dev/gemini-api/docs/pricing</x:v>
      </x:c>
    </x:row>
    <x:row r="5">
      <x:c r="A5" t="str">
        <x:v>Gemini 2.5 Flash output</x:v>
      </x:c>
      <x:c r="B5" s="12" t="n">
        <x:v>2.5</x:v>
      </x:c>
      <x:c r="C5" t="str">
        <x:v>USD/1M</x:v>
      </x:c>
      <x:c r="D5" t="str"/>
      <x:c r="E5" t="str">
        <x:v>https://ai.google.dev/gemini-api/docs/pricing</x:v>
      </x:c>
    </x:row>
    <x:row r="6">
      <x:c r="A6" s="10" t="str">
        <x:v>Gemini 2.5 Flash cached input</x:v>
      </x:c>
      <x:c r="B6" s="12" t="n">
        <x:v>0.03</x:v>
      </x:c>
      <x:c r="C6" t="str">
        <x:v>USD/1M</x:v>
      </x:c>
      <x:c r="D6" t="str"/>
      <x:c r="E6" t="str">
        <x:v>https://ai.google.dev/gemini-api/docs/pricing</x:v>
      </x:c>
    </x:row>
    <x:row r="7">
      <x:c r="A7" t="str">
        <x:v>Gemini cache storage</x:v>
      </x:c>
      <x:c r="B7" s="12" t="n">
        <x:v>1</x:v>
      </x:c>
      <x:c r="C7" t="str">
        <x:v>USD/1M token-hour</x:v>
      </x:c>
      <x:c r="D7" t="str"/>
      <x:c r="E7" t="str">
        <x:v>Chưa tính cho main scenario vì TTL thiếu</x:v>
      </x:c>
    </x:row>
    <x:row r="8">
      <x:c r="A8" s="10" t="str">
        <x:v>Salesforce Flex Credits</x:v>
      </x:c>
      <x:c r="B8" s="12" t="n">
        <x:v>500</x:v>
      </x:c>
      <x:c r="C8" t="str">
        <x:v>USD/100k</x:v>
      </x:c>
      <x:c r="D8" t="str"/>
      <x:c r="E8" t="str">
        <x:v>https://www.salesforce.com/agentforce/pricing/</x:v>
      </x:c>
    </x:row>
    <x:row r="9">
      <x:c r="A9" t="str">
        <x:v>Salesforce credits/action</x:v>
      </x:c>
      <x:c r="B9" s="12" t="n">
        <x:v>20</x:v>
      </x:c>
      <x:c r="C9" t="str">
        <x:v>credits</x:v>
      </x:c>
      <x:c r="D9" t="str"/>
      <x:c r="E9" t="str">
        <x:v>~$0.10/action ở giá bảng</x:v>
      </x:c>
    </x:row>
    <x:row r="10">
      <x:c r="A10" s="10" t="str">
        <x:v>Intercom Fin</x:v>
      </x:c>
      <x:c r="B10" t="str">
        <x:v>Kiểm tra giá tại nguồn</x:v>
      </x:c>
      <x:c r="C10" t="str"/>
      <x:c r="D10" t="str"/>
      <x:c r="E10" t="str">
        <x:v>https://fin.ai/pricing/</x:v>
      </x:c>
    </x:row>
    <x:row r="12">
      <x:c r="A12" s="10" t="str">
        <x:v>Dữ liệu khác</x:v>
      </x:c>
      <x:c r="B12" t="str">
        <x:v>Từ bài gốc; chưa xác minh độc lập</x:v>
      </x:c>
      <x:c r="C12" t="str"/>
      <x:c r="D12" t="str"/>
      <x:c r="E12" t="str">
        <x:v>Các benchmark doanh thu và CAC phải kiểm chứng trước khi pitch</x:v>
      </x:c>
    </x:row>
  </x:sheetData>
  <x:mergeCells>
    <x:mergeCell ref="A1:E1"/>
    <x:mergeCell ref="A2:E2"/>
  </x:mergeCells>
  <x:pageMargins left="0.7" right="0.7" top="0.75" bottom="0.75" header="0.3" footer="0.3"/>
</x:worksheet>
</file>